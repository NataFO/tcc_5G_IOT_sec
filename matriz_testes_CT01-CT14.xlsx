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CT01-CT14" sheetId="1" state="visible" r:id="rId1"/>
    <sheet xmlns:r="http://schemas.openxmlformats.org/officeDocument/2006/relationships" name="Legenda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55555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F7" authorId="0" shapeId="0">
      <text>
        <t>Selecione: Local ou Nuvem (Railway). Rode cada CT nos dois ambientes se quiser comparar.</t>
      </text>
    </comment>
    <comment ref="I7" authorId="0" shapeId="0">
      <text>
        <t>Selecione na lista: Pendente / Aprovado / Reprovado / Parcial.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topLeftCell="D1" zoomScaleNormal="100" workbookViewId="0">
      <pane ySplit="7" topLeftCell="A8" activePane="bottomLeft" state="frozen"/>
      <selection pane="bottomLeft" activeCell="A2" sqref="A2:L2"/>
    </sheetView>
  </sheetViews>
  <sheetFormatPr baseColWidth="8" defaultColWidth="8.6640625" defaultRowHeight="14.4"/>
  <cols>
    <col width="8.77734375" bestFit="1" customWidth="1" style="5" min="1" max="1"/>
    <col width="13" customWidth="1" style="5" min="2" max="2"/>
    <col width="34" customWidth="1" style="5" min="3" max="3"/>
    <col width="13" customWidth="1" style="5" min="4" max="4"/>
    <col width="34" customWidth="1" style="5" min="5" max="5"/>
    <col width="15" customWidth="1" style="5" min="6" max="6"/>
    <col width="17" customWidth="1" style="5" min="7" max="7"/>
    <col width="26" customWidth="1" style="5" min="8" max="8"/>
    <col width="12" customWidth="1" style="5" min="9" max="9"/>
    <col width="26" customWidth="1" style="5" min="10" max="11"/>
  </cols>
  <sheetData>
    <row r="1" ht="17.4" customHeight="1" s="5">
      <c r="A1" s="7" t="inlineStr">
        <is>
          <t>Matriz de Casos de Teste (CT01–CT14) — Segurança Cibernética 5G/IoT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8" t="n"/>
    </row>
    <row r="2">
      <c r="A2" s="9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1" t="inlineStr">
        <is>
          <t>Resumo:</t>
        </is>
      </c>
      <c r="B4" s="12" t="inlineStr">
        <is>
          <t>Aprovados</t>
        </is>
      </c>
      <c r="C4" s="11">
        <f>COUNTIF(I8:I21,"Aprovado")</f>
        <v/>
      </c>
      <c r="D4" s="12" t="inlineStr">
        <is>
          <t>Reprovados</t>
        </is>
      </c>
      <c r="E4" s="11">
        <f>COUNTIF(I8:I21,"Reprovado")</f>
        <v/>
      </c>
      <c r="F4" s="12" t="inlineStr">
        <is>
          <t>Pendentes</t>
        </is>
      </c>
      <c r="G4" s="11">
        <f>COUNTIF(I8:I21,"Pendente")</f>
        <v/>
      </c>
      <c r="H4" s="12" t="inlineStr">
        <is>
          <t>Total</t>
        </is>
      </c>
      <c r="I4" s="11">
        <f>COUNTA(A8:A21)</f>
        <v/>
      </c>
      <c r="J4" s="12" t="inlineStr">
        <is>
          <t>Parciais</t>
        </is>
      </c>
      <c r="K4" s="11">
        <f>COUNTIF(I8:I21,"Parcial")</f>
        <v/>
      </c>
      <c r="L4" s="12" t="inlineStr">
        <is>
          <t>Não executados</t>
        </is>
      </c>
      <c r="M4" s="1">
        <f>COUNTIF(I8:I21,"Não executado")</f>
        <v/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26.4" customHeight="1" s="5">
      <c r="A7" s="13" t="inlineStr">
        <is>
          <t>CT</t>
        </is>
      </c>
      <c r="B7" s="13" t="inlineStr">
        <is>
          <t>Requisito</t>
        </is>
      </c>
      <c r="C7" s="13" t="inlineStr">
        <is>
          <t>Objetivo do Teste</t>
        </is>
      </c>
      <c r="D7" s="13" t="inlineStr">
        <is>
          <t>Tipo</t>
        </is>
      </c>
      <c r="E7" s="13" t="inlineStr">
        <is>
          <t>Critério de Aceite (TCC)</t>
        </is>
      </c>
      <c r="F7" s="13" t="inlineStr">
        <is>
          <t>Ambiente</t>
        </is>
      </c>
      <c r="G7" s="13" t="inlineStr">
        <is>
          <t>Data/Hora do teste</t>
        </is>
      </c>
      <c r="H7" s="13" t="inlineStr">
        <is>
          <t>Resultado obtido (valor medido)</t>
        </is>
      </c>
      <c r="I7" s="13" t="inlineStr">
        <is>
          <t>Status</t>
        </is>
      </c>
      <c r="J7" s="13" t="inlineStr">
        <is>
          <t>Evidência (print/log/URL)</t>
        </is>
      </c>
      <c r="K7" s="13" t="inlineStr">
        <is>
          <t>Observações</t>
        </is>
      </c>
      <c r="L7" s="10" t="n"/>
    </row>
    <row r="8" ht="42" customHeight="1" s="5">
      <c r="A8" s="14" t="inlineStr">
        <is>
          <t>CT01</t>
        </is>
      </c>
      <c r="B8" s="15" t="inlineStr">
        <is>
          <t>RF01 / RNF01</t>
        </is>
      </c>
      <c r="C8" s="15" t="inlineStr">
        <is>
          <t>Captura passiva de metadados em tráfego 5G sem degradação</t>
        </is>
      </c>
      <c r="D8" s="15" t="inlineStr">
        <is>
          <t>Funcional</t>
        </is>
      </c>
      <c r="E8" s="15" t="inlineStr">
        <is>
          <t>Metadados capturados; latência &lt; 5 ms</t>
        </is>
      </c>
      <c r="F8" s="16" t="inlineStr">
        <is>
          <t>Local</t>
        </is>
      </c>
      <c r="G8" s="16" t="inlineStr">
        <is>
          <t>03/10/2026 17:30</t>
        </is>
      </c>
      <c r="H8" s="16" t="inlineStr">
        <is>
          <t>Integridade: 1.600/1.600 campos gravados exatamente como enviados (200 fluxos × 8 campos). Tempo de registro do log no banco: P50 1,8 ms | P95 19,8 ms | P99 40,2 ms</t>
        </is>
      </c>
      <c r="I8" s="15" t="inlineStr">
        <is>
          <t>Parcial</t>
        </is>
      </c>
      <c r="J8" s="16" t="inlineStr">
        <is>
          <t>testes/resultados/ct01_metadados_20261003_173039.json; testes/resultados/ct01_metadados.png | Packet Tracer: testes/resultados/pt_sniffer_captura.png; pt_v2_dispositivos.png; pt_v2_console_sbc.png; pt_v2_alertas.png</t>
        </is>
      </c>
      <c r="K8" s="16" t="inlineStr">
        <is>
          <t>Atendido: metadados registrados sem perda e mediana do registro abaixo de 5 ms. Não atendido: (1) a cauda (P95/P99) passa de 5 ms por causa da confirmação de gravação em disco num computador pessoal (na rodada de 6.759 fluxos de 28/09 o P95 foi 4,0 ms); (2) a captura direta de pacotes na rede 5G não foi implementada — os fluxos vêm de dataset público. A captura passiva é ilustrada no Packet Tracer (Sniffer) Complemento (08/10/2026, Packet Tracer 8.2.2): na topologia com duas gNodeBs, o Sniffer entre o núcleo e o roteador capturou passivamente os pacotes dos aparelhos da rede celular (IP de origem, destino, protocolo, TTL). Um coletor na borda (placa SBC) enviou à API real 30 fluxos dos 5 aparelhos cadastrados: 26 normais classificados como Normal e 4 do Atacante-UE classificados como DDoS, com 4 alertas Críticos. As 20 características vêm de amostras do conjunto de teste, não de tráfego capturado; por isso o CT01 continua Parcial.</t>
        </is>
      </c>
      <c r="L8" s="10" t="n"/>
    </row>
    <row r="9" ht="42" customHeight="1" s="5">
      <c r="A9" s="14" t="inlineStr">
        <is>
          <t>CT02</t>
        </is>
      </c>
      <c r="B9" s="15" t="inlineStr">
        <is>
          <t>RF02</t>
        </is>
      </c>
      <c r="C9" s="15" t="inlineStr">
        <is>
          <t>Classificação correta de tráfego Normal vs. DDoS</t>
        </is>
      </c>
      <c r="D9" s="15" t="inlineStr">
        <is>
          <t>Funcional</t>
        </is>
      </c>
      <c r="E9" s="15" t="inlineStr">
        <is>
          <t>Acurácia ≥ 95% no dataset de validação</t>
        </is>
      </c>
      <c r="F9" s="16" t="inlineStr">
        <is>
          <t>Local</t>
        </is>
      </c>
      <c r="G9" s="16" t="inlineStr">
        <is>
          <t>28/09/2026 22:59</t>
        </is>
      </c>
      <c r="H9" s="16" t="inlineStr">
        <is>
          <t>Acurácia 91,73% (VP=2220, VN=3980, FP=124, FN=435)</t>
        </is>
      </c>
      <c r="I9" s="15" t="inlineStr">
        <is>
          <t>Reprovado</t>
        </is>
      </c>
      <c r="J9" s="16" t="inlineStr">
        <is>
          <t>testes/resultados/resumo_20260928_225914_local.json + print do terminal | Nuvem: testes/resultados/resumo_20261003_201517_nuvem.json; validacao_nuvem_20261003.png</t>
        </is>
      </c>
      <c r="K9" s="16" t="inlineStr">
        <is>
          <t>6.759 amostras do conjunto de teste (valores brutos) via POST /logs/; testes_automatizados.py; banco PostgreSQL local (tcc5g_local). Reexecutado na nuvem (Railway, US West) em 03/10/2026 20:15 com 1.000 amostras: acurácia 92,90% (VP=339, VN=590, FP=17, FN=54) — confirma que a correção do scaler também vale em produção</t>
        </is>
      </c>
      <c r="L9" s="10" t="n"/>
    </row>
    <row r="10" ht="42" customHeight="1" s="5">
      <c r="A10" s="14" t="inlineStr">
        <is>
          <t>CT03</t>
        </is>
      </c>
      <c r="B10" s="15" t="inlineStr">
        <is>
          <t>RF02</t>
        </is>
      </c>
      <c r="C10" s="15" t="inlineStr">
        <is>
          <t>Tempo de inferência dentro do prazo de latência crítico</t>
        </is>
      </c>
      <c r="D10" s="15" t="inlineStr">
        <is>
          <t>Desempenho</t>
        </is>
      </c>
      <c r="E10" s="15" t="inlineStr">
        <is>
          <t>Inferência ≤ 100 ms (P99)</t>
        </is>
      </c>
      <c r="F10" s="16" t="inlineStr">
        <is>
          <t>Local</t>
        </is>
      </c>
      <c r="G10" s="16" t="inlineStr">
        <is>
          <t>28/09/2026 22:59</t>
        </is>
      </c>
      <c r="H10" s="16" t="inlineStr">
        <is>
          <t>Inferência P99 55,9 ms (P50 32,0 ms, P95 48,0 ms)</t>
        </is>
      </c>
      <c r="I10" s="15" t="inlineStr">
        <is>
          <t>Aprovado</t>
        </is>
      </c>
      <c r="J10" s="16" t="inlineStr">
        <is>
          <t>testes/resultados/resumo_20260928_225914_local.json + print do terminal | Nuvem: testes/resultados/resumo_20261003_201517_nuvem.json; validacao_nuvem_20261003.png</t>
        </is>
      </c>
      <c r="K10" s="16" t="inlineStr">
        <is>
          <t>6.759 amostras do conjunto de teste (valores brutos) via POST /logs/; testes_automatizados.py; banco PostgreSQL local (tcc5g_local). Tempo de inferência medido no servidor (Server-Timing); requisição inteira P99 93,3 ms. Reexecutado na nuvem (Railway, US West) em 03/10/2026 20:15 com 1.000 amostras: inferência P50 10,9 ms | P95 16,6 ms | P99 24,3 ms (Aprovado também na nuvem). A requisição inteira vista do cliente no Brasil teve P50 257 ms, dos quais ~214 ms são rede/HTTP até o servidor nos EUA</t>
        </is>
      </c>
      <c r="L10" s="10" t="n"/>
    </row>
    <row r="11" ht="42" customHeight="1" s="5">
      <c r="A11" s="14" t="inlineStr">
        <is>
          <t>CT04</t>
        </is>
      </c>
      <c r="B11" s="15" t="inlineStr">
        <is>
          <t>RF03</t>
        </is>
      </c>
      <c r="C11" s="15" t="inlineStr">
        <is>
          <t>Geração de alerta ao detectar ataque DDoS</t>
        </is>
      </c>
      <c r="D11" s="15" t="inlineStr">
        <is>
          <t>Funcional</t>
        </is>
      </c>
      <c r="E11" s="15" t="inlineStr">
        <is>
          <t>Alerta criado na Tb_Alerta em ≤ 200 ms</t>
        </is>
      </c>
      <c r="F11" s="16" t="inlineStr">
        <is>
          <t>Local</t>
        </is>
      </c>
      <c r="G11" s="16" t="inlineStr">
        <is>
          <t>28/09/2026 22:59</t>
        </is>
      </c>
      <c r="H11" s="16" t="inlineStr">
        <is>
          <t>Local: 2344/2344 alertas gerados; P95 até gravar 54,5 ms. Nuvem (Railway): 356/356 alertas gerados; P95 até gravar 334,9 ms</t>
        </is>
      </c>
      <c r="I11" s="15" t="inlineStr">
        <is>
          <t>Parcial</t>
        </is>
      </c>
      <c r="J11" s="16" t="inlineStr">
        <is>
          <t>testes/resultados/resumo_20260928_225914_local.json + print do terminal | Nuvem: testes/resultados/resumo_20261003_201517_nuvem.json; validacao_nuvem_20261003.png</t>
        </is>
      </c>
      <c r="K11" s="16" t="inlineStr">
        <is>
          <t>6.759 amostras do conjunto de teste (valores brutos) via POST /logs/; testes_automatizados.py; banco PostgreSQL local (tcc5g_local). Tempo no servidor da chegada da requisição até o alerta gravado. Na nuvem (03/10/2026 20:15, 1.000 amostras) todos os ataques geraram alerta, mas o P95 até gravar foi 334,9 ms (critério ≤ 200 ms). O modelo não é o gargalo (inferência P95 16,6 ms): o tempo vai na gravação no banco PostgreSQL do Railway (gravar log P95 173,3 ms; gravar alerta P95 155,6 ms) (provável efeito da confirmação de gravação em disco no plano de teste da nuvem, com recursos compartilhados). Atendido localmente, não atendido na nuvem</t>
        </is>
      </c>
      <c r="L11" s="10" t="n"/>
    </row>
    <row r="12" ht="42" customHeight="1" s="5">
      <c r="A12" s="14" t="inlineStr">
        <is>
          <t>CT05</t>
        </is>
      </c>
      <c r="B12" s="15" t="inlineStr">
        <is>
          <t>RF03</t>
        </is>
      </c>
      <c r="C12" s="15" t="inlineStr">
        <is>
          <t>Notificação visual no dashboard em tempo real</t>
        </is>
      </c>
      <c r="D12" s="15" t="inlineStr">
        <is>
          <t>Funcional</t>
        </is>
      </c>
      <c r="E12" s="15" t="inlineStr">
        <is>
          <t>Notificação exibida em ≤ 1 s após alerta</t>
        </is>
      </c>
      <c r="F12" s="16" t="inlineStr">
        <is>
          <t>Local</t>
        </is>
      </c>
      <c r="G12" s="16" t="inlineStr">
        <is>
          <t>02/10/2026 19:40</t>
        </is>
      </c>
      <c r="H12" s="16" t="inlineStr">
        <is>
          <t>Notificação exibida entre 129 e 546 ms após o alerta ser gravado (5 medições: 129, 404, 451, 546 e 374 ms; média 381 ms); tráfego normal não gerou notificação</t>
        </is>
      </c>
      <c r="I12" s="15" t="inlineStr">
        <is>
          <t>Aprovado</t>
        </is>
      </c>
      <c r="J12" s="16" t="inlineStr">
        <is>
          <t>testes/resultados/ct05_notificacao_dashboard.png; testes/resultados/ct05_tempos_console.png</t>
        </is>
      </c>
      <c r="K12" s="16" t="inlineStr">
        <is>
          <t>5 fluxos de ataque enviados pela tela Logs de rede (alertas #2368 a #2372) com o dashboard aberto em outra janela; o tempo entre o alerta ser gravado e a notificação aparecer foi registrado no console do navegador (AlertNotifier.jsx). Critério ≤ 1 s atendido nas 5 medições. Durante os testes, a notificação em tempo real e o contador de alertas em aberto foram corrigidos (antes o dashboard só atualizava ao recarregar e o contador parava em 5). Atualização por consulta periódica a cada 0,5 s; WebSocket fica como trabalho futuro</t>
        </is>
      </c>
      <c r="L12" s="10" t="n"/>
    </row>
    <row r="13" ht="42" customHeight="1" s="5">
      <c r="A13" s="14" t="inlineStr">
        <is>
          <t>CT06</t>
        </is>
      </c>
      <c r="B13" s="15" t="inlineStr">
        <is>
          <t>RF04</t>
        </is>
      </c>
      <c r="C13" s="15" t="inlineStr">
        <is>
          <t>Cadastro de novo dispositivo IoT</t>
        </is>
      </c>
      <c r="D13" s="15" t="inlineStr">
        <is>
          <t>Funcional</t>
        </is>
      </c>
      <c r="E13" s="15" t="inlineStr">
        <is>
          <t>Registro salvo na Tb_Dispositivo com sucesso</t>
        </is>
      </c>
      <c r="F13" s="16" t="inlineStr">
        <is>
          <t>Local</t>
        </is>
      </c>
      <c r="G13" s="16" t="inlineStr">
        <is>
          <t>28/09/2026 23:25</t>
        </is>
      </c>
      <c r="H13" s="16" t="inlineStr">
        <is>
          <t>Dispositivo #3 cadastrado pelo dashboard e mantido após recarregar a página; cadastro com IP duplicado recusado com HTTP 409 e mensagem clara (após correção)</t>
        </is>
      </c>
      <c r="I13" s="15" t="inlineStr">
        <is>
          <t>Aprovado</t>
        </is>
      </c>
      <c r="J13" s="16" t="inlineStr">
        <is>
          <t>testes/resultados/ct06_ip_duplicado_antes.png; testes/resultados/ct06_ip_duplicado_depois.png</t>
        </is>
      </c>
      <c r="K13" s="16" t="inlineStr">
        <is>
          <t>Teste negativo (IP duplicado) revelou falha: a API respondia erro 500 e o dashboard mostrava só 'Failed to fetch'. Corrigido em backend/routers/dispositivos.py (409 para IP duplicado, 422 para IP inválido) e retestado com sucesso</t>
        </is>
      </c>
      <c r="L13" s="10" t="n"/>
    </row>
    <row r="14" ht="42" customHeight="1" s="5">
      <c r="A14" s="14" t="inlineStr">
        <is>
          <t>CT07</t>
        </is>
      </c>
      <c r="B14" s="15" t="inlineStr">
        <is>
          <t>RF04</t>
        </is>
      </c>
      <c r="C14" s="15" t="inlineStr">
        <is>
          <t>Edição e exclusão de dispositivo existente</t>
        </is>
      </c>
      <c r="D14" s="15" t="inlineStr">
        <is>
          <t>Funcional</t>
        </is>
      </c>
      <c r="E14" s="15" t="inlineStr">
        <is>
          <t>Alterações persistidas; auditoria registrada</t>
        </is>
      </c>
      <c r="F14" s="16" t="inlineStr">
        <is>
          <t>Local</t>
        </is>
      </c>
      <c r="G14" s="16" t="inlineStr">
        <is>
          <t>28/09/2026 23:40</t>
        </is>
      </c>
      <c r="H14" s="16" t="inlineStr">
        <is>
          <t>Edição do #3 (nome e gNodeB) e desativação do #1 feitas pelo dashboard e mantidas após recarregar a página; status não é alterado pela edição</t>
        </is>
      </c>
      <c r="I14" s="15" t="inlineStr">
        <is>
          <t>Parcial</t>
        </is>
      </c>
      <c r="J14" s="16" t="inlineStr">
        <is>
          <t>testes/resultados/ct07_edicao.png; testes/resultados/ct07_desativacao.png</t>
        </is>
      </c>
      <c r="K14" s="16" t="inlineStr">
        <is>
          <t>Atendido: alterações persistidas. Exclusão implementada como desativação lógica (status 'inativo'), preservando o histórico de logs/alertas (FK ON DELETE RESTRICT). Não atendido: auditoria das alterações (não há tabela de auditoria) — trabalho futuro. O botão Editar foi adicionado ao dashboard durante os testes (antes a edição só existia na API)</t>
        </is>
      </c>
      <c r="L14" s="10" t="n"/>
    </row>
    <row r="15" ht="42" customHeight="1" s="5">
      <c r="A15" s="14" t="inlineStr">
        <is>
          <t>CT08</t>
        </is>
      </c>
      <c r="B15" s="15" t="inlineStr">
        <is>
          <t>RNF01</t>
        </is>
      </c>
      <c r="C15" s="15" t="inlineStr">
        <is>
          <t>Latência de inferência sob carga (500 pacotes/s)</t>
        </is>
      </c>
      <c r="D15" s="15" t="inlineStr">
        <is>
          <t>Estresse</t>
        </is>
      </c>
      <c r="E15" s="15" t="inlineStr">
        <is>
          <t>P95 ≤ 100 ms; sem falha do serviço</t>
        </is>
      </c>
      <c r="F15" s="16" t="inlineStr">
        <is>
          <t>Local</t>
        </is>
      </c>
      <c r="G15" s="16" t="inlineStr">
        <is>
          <t>03/10/2026 19:17</t>
        </is>
      </c>
      <c r="H15" s="16" t="inlineStr">
        <is>
          <t>10 fluxos/s (≈323.825 pacotes/s representados): P95 de inferência 61,8 ms (execução do modelo 42,5 ms; fila 0 ms) e 0 erros. Acima de 25 fluxos/s o P95 passa de 100 ms por espera na fila do modelo (fila P95 387–806 ms; execução 49–69 ms). Vazão máxima ≈38 fluxos/s. 0 erros em 7.800 requisições</t>
        </is>
      </c>
      <c r="I15" s="15" t="inlineStr">
        <is>
          <t>Parcial</t>
        </is>
      </c>
      <c r="J15" s="16" t="inlineStr">
        <is>
          <t>testes/resultados/ct08_carga_20261003_174830.json + ct08_carga_antes_da_trava.png (antes da correção); testes/resultados/ct08_carga_20261003_191710.json + ct08_carga_depois_da_trava.png (depois da correção)</t>
        </is>
      </c>
      <c r="K15" s="16" t="inlineStr">
        <is>
          <t>O sistema processa fluxos, não pacotes: cada requisição é um fluxo que agrega muitos pacotes (10 fluxos/s ≈ 324 mil pacotes/s). Atendido: P95 ≤ 100 ms a 10 fluxos/s e serviço sem falhas em todos os degraus. Não atendido: P95 ≤ 100 ms acima de ~20 fluxos/s com um único processo. O teste revelou falha: com requisições simultâneas o TensorFlow disputava os núcleos do processador e o P95 de inferência chegava a 598 ms já a 10 fluxos/s. Corrigido com uma trava (uma inferência por vez) em backend/services/model_service.py, com medição separada da execução do modelo e da espera na fila, e retestado. O tempo de requisição medido no cliente (P95 ~2 s) vem do próprio cliente de teste no Windows; a medida válida é a do servidor (P95 76 ms a 10 fluxos/s)</t>
        </is>
      </c>
      <c r="L15" s="10" t="n"/>
    </row>
    <row r="16" ht="42" customHeight="1" s="5">
      <c r="A16" s="14" t="inlineStr">
        <is>
          <t>CT09</t>
        </is>
      </c>
      <c r="B16" s="15" t="inlineStr">
        <is>
          <t>RNF02</t>
        </is>
      </c>
      <c r="C16" s="15" t="inlineStr">
        <is>
          <t>Processamento paralelo de múltiplos gNodeBs</t>
        </is>
      </c>
      <c r="D16" s="15" t="inlineStr">
        <is>
          <t>Escalabilidade</t>
        </is>
      </c>
      <c r="E16" s="15" t="inlineStr">
        <is>
          <t>Throughput ≥ 10.000 pacotes/s com 4 workers</t>
        </is>
      </c>
      <c r="F16" s="16" t="inlineStr">
        <is>
          <t>Local</t>
        </is>
      </c>
      <c r="G16" s="16" t="inlineStr">
        <is>
          <t>03/10/2026 19:43</t>
        </is>
      </c>
      <c r="H16" s="16" t="inlineStr">
        <is>
          <t>4 workers: 84,4 fluxos/s (≈3.416.853 pacotes/s representados), 0 erros em 2.544 requisições; inferência P50 39,7 ms / P95 123,4 ms. 1 worker: 38,5 fluxos/s (≈1.351.649 pacotes/s), 0 erros em 1.162 requisições; inferência P50 173,3 ms / P95 227,3 ms. Ganho de 2,2× com 4 workers (8 clientes em paralelo, 4 gNodeBs simulados, 30 s cada)</t>
        </is>
      </c>
      <c r="I16" s="15" t="inlineStr">
        <is>
          <t>Parcial</t>
        </is>
      </c>
      <c r="J16" s="16" t="inlineStr">
        <is>
          <t>testes/resultados/ct09_vazao_20261003_193452_1worker.json; testes/resultados/ct09_vazao_20261003_194326_4workers.json; testes/resultados/ct09_vazao_1worker_4workers.png</t>
        </is>
      </c>
      <c r="K16" s="16" t="inlineStr">
        <is>
          <t>Atendido em pacotes representados: cada requisição é um fluxo que agrega muitos pacotes, e a vazão com 4 workers equivale a ≈3,4 milhões de pacotes/s, bem acima de 10.000. Processamento paralelo comprovado: 4 processos do backend (uvicorn --workers 4) atenderam 4 gNodeBs simultaneamente sem erros. Ressalvas: (1) o sistema processa 84 fluxos/s, não 10.000 requisições/s; (2) o ganho não foi linear (2,2× com 4 workers) porque os processos dividem o mesmo processador de um computador pessoal; (3) teste feito em uma única máquina, sem distribuição entre nós da nuvem</t>
        </is>
      </c>
      <c r="L16" s="10" t="n"/>
    </row>
    <row r="17" ht="42" customHeight="1" s="5">
      <c r="A17" s="14" t="inlineStr">
        <is>
          <t>CT10</t>
        </is>
      </c>
      <c r="B17" s="15" t="inlineStr">
        <is>
          <t>RNF03</t>
        </is>
      </c>
      <c r="C17" s="15" t="inlineStr">
        <is>
          <t>Disponibilidade após falha de nó da nuvem</t>
        </is>
      </c>
      <c r="D17" s="15" t="inlineStr">
        <is>
          <t>Disponibilidade</t>
        </is>
      </c>
      <c r="E17" s="15" t="inlineStr">
        <is>
          <t>Retomada automática em ≤ 30 s</t>
        </is>
      </c>
      <c r="F17" s="16" t="inlineStr">
        <is>
          <t>Nuvem (Railway)</t>
        </is>
      </c>
      <c r="G17" s="16" t="inlineStr">
        <is>
          <t>03/10/2026 20:34</t>
        </is>
      </c>
      <c r="H17" s="16" t="inlineStr">
        <is>
          <t>Recuperação automática em 3,2 s (da queda até a API voltar a responder) e 4,1 s até voltar a classificar fluxos (POST /logs/ = 200)</t>
        </is>
      </c>
      <c r="I17" s="15" t="inlineStr">
        <is>
          <t>Aprovado</t>
        </is>
      </c>
      <c r="J17" s="16" t="inlineStr">
        <is>
          <t>testes/resultados/ct10_disponibilidade_20261003_203454.json; testes/resultados/ct10_disponibilidade.png</t>
        </is>
      </c>
      <c r="K17" s="16" t="inlineStr">
        <is>
          <t>Falha provocada pela rota POST /admin/simular-falha, que encerra o processo do backend com código de erro (como um travamento real). O Railway reiniciou o serviço sozinho pela política de reinício "On Failure", sem intervenção manual. A rota só existe com a variável PERMITIR_TESTE_FALHA=1, criada apenas durante o teste e removida em seguida. Limitação: um único nó (1 réplica); a retomada é por reinício do processo, não por failover para outro nó</t>
        </is>
      </c>
      <c r="L17" s="10" t="n"/>
    </row>
    <row r="18" ht="42" customHeight="1" s="5">
      <c r="A18" s="14" t="inlineStr">
        <is>
          <t>CT11</t>
        </is>
      </c>
      <c r="B18" s="15" t="inlineStr">
        <is>
          <t>RF02</t>
        </is>
      </c>
      <c r="C18" s="15" t="inlineStr">
        <is>
          <t>Taxa de Falsos Positivos abaixo do limiar</t>
        </is>
      </c>
      <c r="D18" s="15" t="inlineStr">
        <is>
          <t>Precisão</t>
        </is>
      </c>
      <c r="E18" s="15" t="inlineStr">
        <is>
          <t>FPR &lt; 2% em tráfego benigno de alta intensidade</t>
        </is>
      </c>
      <c r="F18" s="16" t="inlineStr">
        <is>
          <t>Local</t>
        </is>
      </c>
      <c r="G18" s="16" t="inlineStr">
        <is>
          <t>28/09/2026 22:59</t>
        </is>
      </c>
      <c r="H18" s="16" t="inlineStr">
        <is>
          <t>FPR 3,02% (124 de 4104 benignos)</t>
        </is>
      </c>
      <c r="I18" s="15" t="inlineStr">
        <is>
          <t>Reprovado</t>
        </is>
      </c>
      <c r="J18" s="16" t="inlineStr">
        <is>
          <t>testes/resultados/resumo_20260928_225914_local.json + print do terminal | Nuvem: testes/resultados/resumo_20261003_201517_nuvem.json; validacao_nuvem_20261003.png</t>
        </is>
      </c>
      <c r="K18" s="16" t="inlineStr">
        <is>
          <t>6.759 amostras do conjunto de teste (valores brutos) via POST /logs/; testes_automatizados.py; banco PostgreSQL local (tcc5g_local). Reexecutado na nuvem (Railway, US West) em 03/10/2026 20:15 com 1.000 amostras: FPR 2,80% (17 de 607 benignos) — Reprovado também na nuvem</t>
        </is>
      </c>
      <c r="L18" s="10" t="n"/>
    </row>
    <row r="19" ht="42" customHeight="1" s="5">
      <c r="A19" s="14" t="inlineStr">
        <is>
          <t>CT12</t>
        </is>
      </c>
      <c r="B19" s="15" t="inlineStr">
        <is>
          <t>RF02</t>
        </is>
      </c>
      <c r="C19" s="15" t="inlineStr">
        <is>
          <t>Taxa de Falsos Negativos abaixo do limiar</t>
        </is>
      </c>
      <c r="D19" s="15" t="inlineStr">
        <is>
          <t>Recall</t>
        </is>
      </c>
      <c r="E19" s="15" t="inlineStr">
        <is>
          <t>FNR &lt; 5% em ataques DDoS volumétricos</t>
        </is>
      </c>
      <c r="F19" s="16" t="inlineStr">
        <is>
          <t>Local</t>
        </is>
      </c>
      <c r="G19" s="16" t="inlineStr">
        <is>
          <t>28/09/2026 22:59</t>
        </is>
      </c>
      <c r="H19" s="16" t="inlineStr">
        <is>
          <t>FNR DDoS 10,78% (n=529); FNR geral 16,38%</t>
        </is>
      </c>
      <c r="I19" s="15" t="inlineStr">
        <is>
          <t>Reprovado</t>
        </is>
      </c>
      <c r="J19" s="16" t="inlineStr">
        <is>
          <t>testes/resultados/resumo_20260928_225914_local.json + print do terminal | Nuvem: testes/resultados/resumo_20261003_201517_nuvem.json; validacao_nuvem_20261003.png</t>
        </is>
      </c>
      <c r="K19" s="16" t="inlineStr">
        <is>
          <t>6.759 amostras do conjunto de teste (valores brutos) via POST /logs/; testes_automatizados.py; banco PostgreSQL local (tcc5g_local). Por tipo: dos 3,73%, malware 8,41%, web 10,26%, recon 20,88%, bruteforce 29,31%, mitm 41,70%. Reexecutado na nuvem (Railway, US West) em 03/10/2026 20:15 com 1.000 amostras: FNR DDoS 10,99% (n=91); FNR geral 13,74%. Por tipo: recon 17,69%, mitm 39,29%, web 20,00%, dos 4,65%, malware 3,70%, bruteforce 0% (n pequeno)</t>
        </is>
      </c>
      <c r="L19" s="10" t="n"/>
    </row>
    <row r="20" ht="42" customHeight="1" s="5">
      <c r="A20" s="14" t="inlineStr">
        <is>
          <t>CT13</t>
        </is>
      </c>
      <c r="B20" s="15" t="inlineStr">
        <is>
          <t>RF05</t>
        </is>
      </c>
      <c r="C20" s="15" t="inlineStr">
        <is>
          <t>Autenticação e controle de acesso por perfil</t>
        </is>
      </c>
      <c r="D20" s="15" t="inlineStr">
        <is>
          <t>Segurança</t>
        </is>
      </c>
      <c r="E20" s="15" t="inlineStr">
        <is>
          <t>Usuário 'viewer' sem acesso a configurações</t>
        </is>
      </c>
      <c r="F20" s="16" t="inlineStr">
        <is>
          <t>Local</t>
        </is>
      </c>
      <c r="G20" s="16" t="inlineStr">
        <is>
          <t>02/10/2026 19:56</t>
        </is>
      </c>
      <c r="H20" s="16" t="inlineStr">
        <is>
          <t>27/27 verificações OK: sem login → 401 em todas as rotas; viewer consulta (200) e é bloqueado (403) nas 5 tentativas de alteração; admin passa pela checagem de perfil. No dashboard, o viewer não vê cadastro/edição/desativação e não altera status de alertas</t>
        </is>
      </c>
      <c r="I20" s="15" t="inlineStr">
        <is>
          <t>Aprovado</t>
        </is>
      </c>
      <c r="J20" s="16" t="inlineStr">
        <is>
          <t>testes/resultados/ct13_perfis_20261002_195645.json; ct13_perfis_terminal.png; ct13_viewer_dispositivos.png; ct13_viewer_alertas.png</t>
        </is>
      </c>
      <c r="K20" s="16" t="inlineStr">
        <is>
          <t>Antes dos testes o sistema exigia login, mas não verificava o perfil (um viewer podia alterar dispositivos). Implementado controle por perfil (security.exigir_perfil): admin configura dispositivos; admin e analista tratam alertas e enviam logs; viewer só consulta</t>
        </is>
      </c>
      <c r="L20" s="10" t="n"/>
    </row>
    <row r="21" ht="42" customHeight="1" s="5">
      <c r="A21" s="14" t="inlineStr">
        <is>
          <t>CT14</t>
        </is>
      </c>
      <c r="B21" s="15" t="inlineStr">
        <is>
          <t>RF02</t>
        </is>
      </c>
      <c r="C21" s="15" t="inlineStr">
        <is>
          <t>Retreinamento do modelo com novos dados rotulados</t>
        </is>
      </c>
      <c r="D21" s="15" t="inlineStr">
        <is>
          <t>Funcional</t>
        </is>
      </c>
      <c r="E21" s="15" t="inlineStr">
        <is>
          <t>Melhoria de acurácia ≥ 1% após retreinamento</t>
        </is>
      </c>
      <c r="F21" s="16" t="n"/>
      <c r="G21" s="16" t="n"/>
      <c r="H21" s="16" t="inlineStr">
        <is>
          <t>Funcionalidade não implementada no protótipo</t>
        </is>
      </c>
      <c r="I21" s="15" t="inlineStr">
        <is>
          <t>Não executado</t>
        </is>
      </c>
      <c r="J21" s="16" t="n"/>
      <c r="K21" s="16" t="inlineStr">
        <is>
          <t>O modelo foi treinado uma única vez (notebook 03). Um pipeline de retreinamento — coleta de novos fluxos rotulados, novo treino e comparação de acurácia antes de substituir o modelo em produção — fica como trabalho futuro</t>
        </is>
      </c>
      <c r="L21" s="10" t="n"/>
    </row>
    <row r="23">
      <c r="A23" s="4" t="n"/>
    </row>
  </sheetData>
  <mergeCells count="3">
    <mergeCell ref="A2:L2"/>
    <mergeCell ref="A23:K23"/>
    <mergeCell ref="A1:L1"/>
  </mergeCells>
  <dataValidations count="2">
    <dataValidation sqref="I8:I21" showDropDown="0" showInputMessage="0" showErrorMessage="0" allowBlank="1" type="list">
      <formula1>"Pendente,Aprovado,Reprovado,Parcial,Não executado"</formula1>
      <formula2>0</formula2>
    </dataValidation>
    <dataValidation sqref="F8:F21" showDropDown="0" showInputMessage="0" showErrorMessage="0" allowBlank="1" type="list">
      <formula1>"Local,Nuvem (Railway)"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A1" sqref="A1"/>
    </sheetView>
  </sheetViews>
  <sheetFormatPr baseColWidth="8" defaultColWidth="8.6640625" defaultRowHeight="14.4"/>
  <cols>
    <col width="22" customWidth="1" style="5" min="1" max="1"/>
    <col width="80" customWidth="1" style="5" min="2" max="2"/>
  </cols>
  <sheetData>
    <row r="1" ht="17.4" customHeight="1" s="5">
      <c r="A1" s="6" t="inlineStr">
        <is>
          <t>Como preencher</t>
        </is>
      </c>
    </row>
    <row r="3">
      <c r="A3" s="2" t="inlineStr">
        <is>
          <t>Campo</t>
        </is>
      </c>
      <c r="B3" s="2" t="inlineStr">
        <is>
          <t>O que preencher</t>
        </is>
      </c>
    </row>
    <row r="4" ht="31.5" customHeight="1" s="5">
      <c r="A4" s="1" t="inlineStr">
        <is>
          <t>Ambiente</t>
        </is>
      </c>
      <c r="B4" s="3" t="inlineStr">
        <is>
          <t>Onde o teste foi executado: Local (sua máquina) ou Nuvem (Railway).</t>
        </is>
      </c>
    </row>
    <row r="5" ht="31.5" customHeight="1" s="5">
      <c r="A5" s="1" t="inlineStr">
        <is>
          <t>Data/Hora do teste</t>
        </is>
      </c>
      <c r="B5" s="3" t="inlineStr">
        <is>
          <t>Quando você rodou o teste (ex.: 23/09/2026 14:30).</t>
        </is>
      </c>
    </row>
    <row r="6" ht="31.5" customHeight="1" s="5">
      <c r="A6" s="1" t="inlineStr">
        <is>
          <t>Resultado obtido</t>
        </is>
      </c>
      <c r="B6" s="3" t="inlineStr">
        <is>
          <t>O valor real medido (ex.: 'Acurácia 91,49%', 'Latência 340 ms', '401 sem token / 200 com token').</t>
        </is>
      </c>
    </row>
    <row r="7" ht="31.5" customHeight="1" s="5">
      <c r="A7" s="1" t="inlineStr">
        <is>
          <t>Status</t>
        </is>
      </c>
      <c r="B7" s="3" t="inlineStr">
        <is>
          <t>Aprovado = bateu o critério de aceite. Reprovado = não bateu. Parcial = bateu em parte. Pendente = ainda não testado.</t>
        </is>
      </c>
    </row>
    <row r="8" ht="31.5" customHeight="1" s="5">
      <c r="A8" s="1" t="inlineStr">
        <is>
          <t>Evidência</t>
        </is>
      </c>
      <c r="B8" s="3" t="inlineStr">
        <is>
          <t>Onde está a prova: nome do print, link do Swagger, ID do log/alerta no sistema, etc.</t>
        </is>
      </c>
    </row>
    <row r="9" ht="31.5" customHeight="1" s="5">
      <c r="A9" s="1" t="inlineStr">
        <is>
          <t>Observações</t>
        </is>
      </c>
      <c r="B9" s="3" t="inlineStr">
        <is>
          <t>Qualquer contexto relevante (ex.: 'testado no plano free do Railway', 'medição feita com 10 repetições').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2026-09-23T02:45:28Z</dcterms:created>
  <dcterms:modified xmlns:dcterms="http://purl.org/dc/terms/" xmlns:xsi="http://www.w3.org/2001/XMLSchema-instance" xsi:type="dcterms:W3CDTF">2026-10-08T04:34:05Z</dcterms:modified>
  <cp:lastModifiedBy>Natã Ferreira</cp:lastModifiedBy>
  <cp:revision>0</cp:revision>
</cp:coreProperties>
</file>